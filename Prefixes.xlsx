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y\source\repos\SortNetSAT\"/>
    </mc:Choice>
  </mc:AlternateContent>
  <xr:revisionPtr revIDLastSave="0" documentId="13_ncr:1_{1404E2A3-9638-482D-B778-C7013E1E06A3}" xr6:coauthVersionLast="47" xr6:coauthVersionMax="47" xr10:uidLastSave="{00000000-0000-0000-0000-000000000000}"/>
  <bookViews>
    <workbookView xWindow="-28920" yWindow="-120" windowWidth="29040" windowHeight="15720" activeTab="3" xr2:uid="{0104B856-7785-45C9-88AA-D6349C4CC1CA}"/>
  </bookViews>
  <sheets>
    <sheet name="2unsym" sheetId="3" r:id="rId1"/>
    <sheet name="2sym" sheetId="1" r:id="rId2"/>
    <sheet name="3sym" sheetId="5" r:id="rId3"/>
    <sheet name="3unsym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5" l="1"/>
  <c r="D8" i="5"/>
  <c r="E8" i="5"/>
  <c r="F8" i="5"/>
  <c r="G8" i="5"/>
  <c r="H8" i="5"/>
  <c r="I8" i="5"/>
  <c r="J8" i="5"/>
  <c r="B8" i="5"/>
</calcChain>
</file>

<file path=xl/sharedStrings.xml><?xml version="1.0" encoding="utf-8"?>
<sst xmlns="http://schemas.openxmlformats.org/spreadsheetml/2006/main" count="19" uniqueCount="6">
  <si>
    <t>Subsumption</t>
  </si>
  <si>
    <t>Layer DAG</t>
  </si>
  <si>
    <t>Prefix Graph</t>
  </si>
  <si>
    <t>n</t>
  </si>
  <si>
    <t>PG (IsoOutputs)</t>
  </si>
  <si>
    <t>PG (IsoOutputs + OutputSubsets)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</si>
</sst>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</font>
    <font>
      <b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944D-AFB6-47E1-8B0E-05331FFCD6B7}">
  <dimension ref="A1:R4"/>
  <sheetViews>
    <sheetView zoomScale="175" zoomScaleNormal="175" workbookViewId="0">
      <selection activeCell="K3" sqref="K3:K4"/>
    </sheetView>
  </sheetViews>
  <sheetFormatPr defaultRowHeight="12" x14ac:dyDescent="0.2"/>
  <cols>
    <col min="1" max="1" width="18.83203125" style="1" customWidth="1"/>
    <col min="2" max="16384" width="9.33203125" style="1"/>
  </cols>
  <sheetData>
    <row r="1" spans="1:18" x14ac:dyDescent="0.2">
      <c r="A1" s="2" t="s">
        <v>3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</row>
    <row r="2" spans="1:18" x14ac:dyDescent="0.2">
      <c r="A2" s="1" t="s">
        <v>0</v>
      </c>
      <c r="B2" s="1">
        <v>1</v>
      </c>
      <c r="C2" s="1">
        <v>2</v>
      </c>
      <c r="D2" s="1">
        <v>2</v>
      </c>
      <c r="E2" s="1">
        <v>6</v>
      </c>
      <c r="F2" s="1">
        <v>6</v>
      </c>
      <c r="G2" s="1">
        <v>14</v>
      </c>
      <c r="H2" s="1">
        <v>15</v>
      </c>
    </row>
    <row r="3" spans="1:18" x14ac:dyDescent="0.2">
      <c r="A3" s="1" t="s">
        <v>1</v>
      </c>
      <c r="B3" s="1">
        <v>1</v>
      </c>
      <c r="C3" s="1">
        <v>2</v>
      </c>
      <c r="D3" s="1">
        <v>2</v>
      </c>
      <c r="E3" s="1">
        <v>6</v>
      </c>
      <c r="F3" s="1">
        <v>6</v>
      </c>
      <c r="G3" s="1">
        <v>14</v>
      </c>
      <c r="H3" s="1">
        <v>15</v>
      </c>
      <c r="I3" s="1">
        <v>37</v>
      </c>
      <c r="J3" s="1">
        <v>27</v>
      </c>
      <c r="K3" s="1">
        <v>88</v>
      </c>
    </row>
    <row r="4" spans="1:18" x14ac:dyDescent="0.2">
      <c r="A4" s="1" t="s">
        <v>2</v>
      </c>
      <c r="B4" s="1">
        <v>1</v>
      </c>
      <c r="C4" s="1">
        <v>2</v>
      </c>
      <c r="D4" s="1">
        <v>2</v>
      </c>
      <c r="E4" s="1">
        <v>6</v>
      </c>
      <c r="F4" s="1">
        <v>6</v>
      </c>
      <c r="G4" s="1">
        <v>14</v>
      </c>
      <c r="H4" s="1">
        <v>15</v>
      </c>
      <c r="I4" s="1">
        <v>37</v>
      </c>
      <c r="J4" s="1">
        <v>27</v>
      </c>
      <c r="K4" s="1">
        <v>88</v>
      </c>
      <c r="L4" s="1">
        <v>70</v>
      </c>
      <c r="M4" s="1">
        <v>212</v>
      </c>
      <c r="N4" s="1">
        <v>136</v>
      </c>
      <c r="O4" s="1">
        <v>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CA3B-EC37-4E3A-9860-8E9F3C166319}">
  <dimension ref="A1:K4"/>
  <sheetViews>
    <sheetView zoomScale="175" zoomScaleNormal="175" workbookViewId="0">
      <selection activeCell="K6" sqref="K6"/>
    </sheetView>
  </sheetViews>
  <sheetFormatPr defaultRowHeight="12" x14ac:dyDescent="0.2"/>
  <cols>
    <col min="1" max="1" width="18.83203125" style="1" customWidth="1"/>
    <col min="2" max="16384" width="9.33203125" style="1"/>
  </cols>
  <sheetData>
    <row r="1" spans="1:11" x14ac:dyDescent="0.2">
      <c r="A1" s="2" t="s">
        <v>3</v>
      </c>
      <c r="B1" s="2">
        <v>2</v>
      </c>
      <c r="C1" s="2">
        <v>4</v>
      </c>
      <c r="D1" s="2">
        <v>6</v>
      </c>
      <c r="E1" s="2">
        <v>8</v>
      </c>
      <c r="F1" s="2">
        <v>10</v>
      </c>
      <c r="G1" s="2">
        <v>12</v>
      </c>
      <c r="H1" s="2">
        <v>14</v>
      </c>
      <c r="I1" s="2">
        <v>16</v>
      </c>
      <c r="J1" s="2">
        <v>18</v>
      </c>
      <c r="K1" s="2">
        <v>20</v>
      </c>
    </row>
    <row r="2" spans="1:11" ht="11.25" customHeight="1" x14ac:dyDescent="0.2">
      <c r="A2" s="1" t="s">
        <v>0</v>
      </c>
      <c r="B2" s="1">
        <v>1</v>
      </c>
      <c r="C2" s="1">
        <v>2</v>
      </c>
      <c r="D2" s="1">
        <v>4</v>
      </c>
      <c r="E2" s="1">
        <v>5</v>
      </c>
      <c r="F2" s="1">
        <v>13</v>
      </c>
      <c r="G2" s="1">
        <v>15</v>
      </c>
      <c r="H2" s="1">
        <v>41</v>
      </c>
    </row>
    <row r="3" spans="1:11" x14ac:dyDescent="0.2">
      <c r="A3" s="1" t="s">
        <v>1</v>
      </c>
      <c r="B3" s="1">
        <v>1</v>
      </c>
      <c r="C3" s="1">
        <v>2</v>
      </c>
      <c r="D3" s="1">
        <v>4</v>
      </c>
      <c r="E3" s="1">
        <v>5</v>
      </c>
      <c r="F3" s="1">
        <v>13</v>
      </c>
      <c r="G3" s="1">
        <v>15</v>
      </c>
      <c r="H3" s="1">
        <v>41</v>
      </c>
    </row>
    <row r="4" spans="1:11" x14ac:dyDescent="0.2">
      <c r="A4" s="1" t="s">
        <v>2</v>
      </c>
      <c r="B4" s="1">
        <v>1</v>
      </c>
      <c r="C4" s="1">
        <v>2</v>
      </c>
      <c r="D4" s="1">
        <v>4</v>
      </c>
      <c r="E4" s="1">
        <v>5</v>
      </c>
      <c r="F4" s="1">
        <v>13</v>
      </c>
      <c r="G4" s="1">
        <v>15</v>
      </c>
      <c r="H4" s="1">
        <v>41</v>
      </c>
      <c r="I4" s="1">
        <v>36</v>
      </c>
      <c r="J4" s="1">
        <v>118</v>
      </c>
      <c r="K4" s="1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5C09-6236-4F3A-B612-F2350551A5C2}">
  <dimension ref="A1:K8"/>
  <sheetViews>
    <sheetView zoomScale="175" zoomScaleNormal="175" workbookViewId="0">
      <selection activeCell="K9" sqref="K9"/>
    </sheetView>
  </sheetViews>
  <sheetFormatPr defaultRowHeight="12" x14ac:dyDescent="0.2"/>
  <cols>
    <col min="1" max="1" width="29.5" style="1" customWidth="1"/>
    <col min="2" max="16384" width="9.33203125" style="1"/>
  </cols>
  <sheetData>
    <row r="1" spans="1:11" x14ac:dyDescent="0.2">
      <c r="A1" s="2" t="s">
        <v>3</v>
      </c>
      <c r="B1" s="2">
        <v>2</v>
      </c>
      <c r="C1" s="2">
        <v>4</v>
      </c>
      <c r="D1" s="2">
        <v>6</v>
      </c>
      <c r="E1" s="2">
        <v>8</v>
      </c>
      <c r="F1" s="2">
        <v>10</v>
      </c>
      <c r="G1" s="2">
        <v>12</v>
      </c>
      <c r="H1" s="2">
        <v>14</v>
      </c>
      <c r="I1" s="2">
        <v>16</v>
      </c>
      <c r="J1" s="2">
        <v>18</v>
      </c>
      <c r="K1" s="2">
        <v>20</v>
      </c>
    </row>
    <row r="2" spans="1:11" x14ac:dyDescent="0.2">
      <c r="A2" s="1" t="s">
        <v>0</v>
      </c>
      <c r="B2" s="1">
        <v>1</v>
      </c>
      <c r="C2" s="1">
        <v>1</v>
      </c>
      <c r="D2" s="1">
        <v>3</v>
      </c>
      <c r="E2" s="1">
        <v>7</v>
      </c>
      <c r="F2" s="1">
        <v>148</v>
      </c>
      <c r="G2" s="1">
        <v>570</v>
      </c>
    </row>
    <row r="3" spans="1:11" x14ac:dyDescent="0.2">
      <c r="A3" s="1" t="s">
        <v>1</v>
      </c>
      <c r="B3" s="1">
        <v>1</v>
      </c>
      <c r="C3" s="1">
        <v>2</v>
      </c>
      <c r="D3" s="1">
        <v>15</v>
      </c>
      <c r="E3" s="1">
        <v>44</v>
      </c>
    </row>
    <row r="4" spans="1:11" x14ac:dyDescent="0.2">
      <c r="A4" s="1" t="s">
        <v>2</v>
      </c>
      <c r="B4" s="1">
        <v>1</v>
      </c>
      <c r="C4" s="1">
        <v>2</v>
      </c>
      <c r="D4" s="1">
        <v>15</v>
      </c>
      <c r="E4" s="1">
        <v>47</v>
      </c>
      <c r="F4" s="1">
        <v>504</v>
      </c>
      <c r="G4" s="1">
        <v>1632</v>
      </c>
      <c r="H4" s="1">
        <v>24117</v>
      </c>
      <c r="I4" s="1">
        <v>56884</v>
      </c>
      <c r="J4" s="1">
        <v>1004741</v>
      </c>
    </row>
    <row r="5" spans="1:11" x14ac:dyDescent="0.2">
      <c r="A5" s="1" t="s">
        <v>4</v>
      </c>
      <c r="B5" s="1">
        <v>1</v>
      </c>
      <c r="C5" s="1">
        <v>1</v>
      </c>
      <c r="D5" s="1">
        <v>8</v>
      </c>
      <c r="E5" s="1">
        <v>27</v>
      </c>
      <c r="F5" s="1">
        <v>316</v>
      </c>
      <c r="G5" s="1">
        <v>1101</v>
      </c>
      <c r="H5" s="1">
        <v>15713</v>
      </c>
      <c r="I5" s="1">
        <v>39757</v>
      </c>
    </row>
    <row r="6" spans="1:11" x14ac:dyDescent="0.2">
      <c r="A6" s="1" t="s">
        <v>5</v>
      </c>
      <c r="B6" s="1">
        <v>1</v>
      </c>
      <c r="C6" s="1">
        <v>1</v>
      </c>
      <c r="D6" s="1">
        <v>4</v>
      </c>
      <c r="E6" s="1">
        <v>15</v>
      </c>
      <c r="F6" s="1">
        <v>257</v>
      </c>
    </row>
    <row r="8" spans="1:11" x14ac:dyDescent="0.2">
      <c r="B8" s="1">
        <f>B4/B2</f>
        <v>1</v>
      </c>
      <c r="C8" s="1">
        <f t="shared" ref="C8:J8" si="0">C4/C2</f>
        <v>2</v>
      </c>
      <c r="D8" s="1">
        <f t="shared" si="0"/>
        <v>5</v>
      </c>
      <c r="E8" s="1">
        <f t="shared" si="0"/>
        <v>6.7142857142857144</v>
      </c>
      <c r="F8" s="1">
        <f t="shared" si="0"/>
        <v>3.4054054054054053</v>
      </c>
      <c r="G8" s="1">
        <f t="shared" si="0"/>
        <v>2.8631578947368421</v>
      </c>
      <c r="H8" s="1" t="e">
        <f t="shared" si="0"/>
        <v>#DIV/0!</v>
      </c>
      <c r="I8" s="1" t="e">
        <f t="shared" si="0"/>
        <v>#DIV/0!</v>
      </c>
      <c r="J8" s="1" t="e">
        <f t="shared" si="0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369D-3D6A-4BDB-B488-E0821FACF492}">
  <dimension ref="A1:R5"/>
  <sheetViews>
    <sheetView tabSelected="1" zoomScale="175" zoomScaleNormal="175" workbookViewId="0">
      <selection activeCell="L9" sqref="L9"/>
    </sheetView>
  </sheetViews>
  <sheetFormatPr defaultRowHeight="12" x14ac:dyDescent="0.2"/>
  <cols>
    <col min="1" max="1" width="18.83203125" style="1" customWidth="1"/>
    <col min="2" max="16384" width="9.33203125" style="1"/>
  </cols>
  <sheetData>
    <row r="1" spans="1:18" x14ac:dyDescent="0.2">
      <c r="A1" s="2" t="s">
        <v>3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</row>
    <row r="2" spans="1:18" x14ac:dyDescent="0.2">
      <c r="A2" s="1" t="s">
        <v>0</v>
      </c>
      <c r="B2" s="1">
        <v>1</v>
      </c>
      <c r="C2" s="1">
        <v>1</v>
      </c>
      <c r="D2" s="1">
        <v>1</v>
      </c>
      <c r="E2" s="1">
        <v>7</v>
      </c>
      <c r="F2" s="1">
        <v>5</v>
      </c>
      <c r="G2" s="1">
        <v>99</v>
      </c>
      <c r="H2" s="1">
        <v>68</v>
      </c>
      <c r="I2" s="1">
        <v>3090</v>
      </c>
      <c r="J2" s="1">
        <v>6176</v>
      </c>
      <c r="K2" s="1">
        <v>111307</v>
      </c>
    </row>
    <row r="3" spans="1:18" x14ac:dyDescent="0.2">
      <c r="A3" s="1" t="s">
        <v>1</v>
      </c>
      <c r="B3" s="1">
        <v>1</v>
      </c>
      <c r="C3" s="1">
        <v>2</v>
      </c>
      <c r="D3" s="1">
        <v>2</v>
      </c>
      <c r="E3" s="1">
        <v>29</v>
      </c>
      <c r="F3" s="1">
        <v>55</v>
      </c>
      <c r="G3" s="1">
        <v>489</v>
      </c>
    </row>
    <row r="4" spans="1:18" x14ac:dyDescent="0.2">
      <c r="A4" s="1" t="s">
        <v>2</v>
      </c>
      <c r="B4" s="1">
        <v>1</v>
      </c>
      <c r="C4" s="1">
        <v>2</v>
      </c>
      <c r="D4" s="1">
        <v>2</v>
      </c>
      <c r="E4" s="1">
        <v>29</v>
      </c>
      <c r="F4" s="1">
        <v>55</v>
      </c>
      <c r="G4" s="1">
        <v>489</v>
      </c>
    </row>
    <row r="5" spans="1:18" x14ac:dyDescent="0.2">
      <c r="A5" s="1" t="s">
        <v>4</v>
      </c>
      <c r="B5" s="1">
        <v>1</v>
      </c>
      <c r="C5" s="1">
        <v>1</v>
      </c>
      <c r="D5" s="1">
        <v>1</v>
      </c>
      <c r="E5" s="1">
        <v>14</v>
      </c>
      <c r="F5" s="1">
        <v>31</v>
      </c>
      <c r="G5" s="1">
        <v>290</v>
      </c>
      <c r="H5" s="1">
        <v>760</v>
      </c>
      <c r="I5" s="1">
        <v>7400</v>
      </c>
      <c r="J5" s="1">
        <v>18955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2unsym</vt:lpstr>
      <vt:lpstr>2sym</vt:lpstr>
      <vt:lpstr>3sym</vt:lpstr>
      <vt:lpstr>3unsym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Matty Muir</dc:creator>
  <cp:lastModifiedBy>Matty Muir</cp:lastModifiedBy>
  <dcterms:created xsi:type="dcterms:W3CDTF">2026-05-30T23:20:56Z</dcterms:created>
  <dcterms:modified xsi:type="dcterms:W3CDTF">2026-08-04T00:24:39Z</dcterms:modified>
</cp:coreProperties>
</file>